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1e366f88c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55216f08170741e9"/>
    <x:sheet xmlns:r="http://schemas.openxmlformats.org/officeDocument/2006/relationships" name="Summary" sheetId="2" r:id="R5312ccbb8234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EGP&quot;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4472C4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d6ff80b0a498b" /><Relationship Type="http://schemas.openxmlformats.org/officeDocument/2006/relationships/theme" Target="/xl/theme/theme1.xml" Id="Re9cabfd107d24983" /><Relationship Type="http://schemas.openxmlformats.org/officeDocument/2006/relationships/sharedStrings" Target="/xl/sharedStrings.xml" Id="R658e864f88a94fad" /><Relationship Type="http://schemas.openxmlformats.org/officeDocument/2006/relationships/worksheet" Target="/xl/worksheets/sheet1.xml" Id="R55216f08170741e9" /><Relationship Type="http://schemas.openxmlformats.org/officeDocument/2006/relationships/worksheet" Target="/xl/worksheets/sheet2.xml" Id="R5312ccbb823440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d5174c2cf940d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Min Cost</c:v>
          </c:tx>
          <c:cat>
            <c:strRef>
              <c:f>'BOQ'!$B$5:$B$19</c:f>
              <c:strCache>
                <c:ptCount val="0"/>
              </c:strCache>
            </c:strRef>
          </c:cat>
          <c:val>
            <c:numRef>
              <c:f>'BOQ'!$G$5:$G$19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23</xdr:row>
      <xdr:rowOff>0</xdr:rowOff>
    </xdr:from>
    <xdr:ext cx="809625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5174c2cf940db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BOQTable" displayName="BOQTable" ref="A4:I19" headerRowCount="1">
  <x:tableColumns count="9">
    <x:tableColumn id="1" name="#"/>
    <x:tableColumn id="2" name="Component"/>
    <x:tableColumn id="3" name="Specification / Notes"/>
    <x:tableColumn id="4" name="Qty"/>
    <x:tableColumn id="5" name="Unit Price Min (EGP)"/>
    <x:tableColumn id="6" name="Unit Price Max (EGP)"/>
    <x:tableColumn id="7" name="Total Min (EGP)"/>
    <x:tableColumn id="8" name="Total Max (EGP)"/>
    <x:tableColumn id="9" name="Sour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ac99c3a6ec4f70" /><Relationship Type="http://schemas.openxmlformats.org/officeDocument/2006/relationships/table" Target="/xl/tables/table1.xml" Id="Rf340c9a708ef4336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42" hidden="0" customWidth="1"/>
    <x:col min="4" max="4" width="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55" hidden="0" customWidth="1"/>
  </x:cols>
  <x:sheetData>
    <x:row r="1" ht="28" customHeight="1">
      <x:c r="A1" s="5" t="str">
        <x:v>BOQ – Bluetooth Controlled Omniwheel Robot</x:v>
      </x:c>
    </x:row>
    <x:row r="2">
      <x:c r="A2" s="12" t="str">
        <x:v>Prepared: 2026-05-30 | Currency: EGP</x:v>
      </x:c>
    </x:row>
    <x:row r="4" ht="34" customHeight="1">
      <x:c r="A4" s="20" t="str">
        <x:v>#</x:v>
      </x:c>
      <x:c r="B4" s="20" t="str">
        <x:v>Component</x:v>
      </x:c>
      <x:c r="C4" s="20" t="str">
        <x:v>Specification / Notes</x:v>
      </x:c>
      <x:c r="D4" s="20" t="str">
        <x:v>Qty</x:v>
      </x:c>
      <x:c r="E4" s="20" t="str">
        <x:v>Unit Price Min (EGP)</x:v>
      </x:c>
      <x:c r="F4" s="20" t="str">
        <x:v>Unit Price Max (EGP)</x:v>
      </x:c>
      <x:c r="G4" s="20" t="str">
        <x:v>Total Min (EGP)</x:v>
      </x:c>
      <x:c r="H4" s="20" t="str">
        <x:v>Total Max (EGP)</x:v>
      </x:c>
      <x:c r="I4" s="20" t="str">
        <x:v>Source / Notes</x:v>
      </x:c>
    </x:row>
    <x:row r="5">
      <x:c r="A5" s="28" t="n">
        <x:v>1</x:v>
      </x:c>
      <x:c r="B5" s="26" t="str">
        <x:v>Mecanum / omni wheel</x:v>
      </x:c>
      <x:c r="C5" s="26" t="str">
        <x:v>90-degree omnidirectional wheel for smart car / robot platform</x:v>
      </x:c>
      <x:c r="D5" s="28" t="n">
        <x:v>4</x:v>
      </x:c>
      <x:c r="E5" s="30" t="n">
        <x:v>75</x:v>
      </x:c>
      <x:c r="F5" s="30" t="n">
        <x:v>75</x:v>
      </x:c>
      <x:c r="G5" s="30" t="n">
        <x:f>D5*E5</x:f>
        <x:v>300</x:v>
      </x:c>
      <x:c r="H5" s="30" t="n">
        <x:f>D5*F5</x:f>
        <x:v>300</x:v>
      </x:c>
      <x:c r="I5" s="26" t="str">
        <x:v>https://uge-one.com/product/mecanum-omnidirectional-wheel-90-degree-smart-car-assembly/</x:v>
      </x:c>
    </x:row>
    <x:row r="6">
      <x:c r="A6" s="28" t="n">
        <x:v>2</x:v>
      </x:c>
      <x:c r="B6" s="26" t="str">
        <x:v>DC geared motor</x:v>
      </x:c>
      <x:c r="C6" s="26" t="str">
        <x:v>JGA25-370, 12V, 250 RPM, 8.8 kg.cm</x:v>
      </x:c>
      <x:c r="D6" s="28" t="n">
        <x:v>4</x:v>
      </x:c>
      <x:c r="E6" s="30" t="n">
        <x:v>300</x:v>
      </x:c>
      <x:c r="F6" s="30" t="n">
        <x:v>300</x:v>
      </x:c>
      <x:c r="G6" s="30" t="n">
        <x:f>D6*E6</x:f>
        <x:v>1200</x:v>
      </x:c>
      <x:c r="H6" s="30" t="n">
        <x:f>D6*F6</x:f>
        <x:v>1200</x:v>
      </x:c>
      <x:c r="I6" s="26" t="str">
        <x:v>https://makerselectronics.com/product/dc-motor-with-gear-box-jga25-370-12v-250rpm-8-8kg-cm/</x:v>
      </x:c>
    </x:row>
    <x:row r="7">
      <x:c r="A7" s="28" t="n">
        <x:v>3</x:v>
      </x:c>
      <x:c r="B7" s="26" t="str">
        <x:v>Motor mounting bracket</x:v>
      </x:c>
      <x:c r="C7" s="26" t="str">
        <x:v>25 mm bracket for GA25 / JGA25 motor</x:v>
      </x:c>
      <x:c r="D7" s="28" t="n">
        <x:v>4</x:v>
      </x:c>
      <x:c r="E7" s="30" t="n">
        <x:v>35</x:v>
      </x:c>
      <x:c r="F7" s="30" t="n">
        <x:v>35</x:v>
      </x:c>
      <x:c r="G7" s="30" t="n">
        <x:f>D7*E7</x:f>
        <x:v>140</x:v>
      </x:c>
      <x:c r="H7" s="30" t="n">
        <x:f>D7*F7</x:f>
        <x:v>140</x:v>
      </x:c>
      <x:c r="I7" s="26" t="str">
        <x:v>https://makerselectronics.com/product/mounting-bracket-25mm-for-ga25/</x:v>
      </x:c>
    </x:row>
    <x:row r="8">
      <x:c r="A8" s="28" t="n">
        <x:v>4</x:v>
      </x:c>
      <x:c r="B8" s="26" t="str">
        <x:v>Aluminum profile</x:v>
      </x:c>
      <x:c r="C8" s="26" t="str">
        <x:v>2040 aluminum profile, 20×40×1000 mm</x:v>
      </x:c>
      <x:c r="D8" s="28" t="n">
        <x:v>2</x:v>
      </x:c>
      <x:c r="E8" s="30" t="n">
        <x:v>325</x:v>
      </x:c>
      <x:c r="F8" s="30" t="n">
        <x:v>325</x:v>
      </x:c>
      <x:c r="G8" s="30" t="n">
        <x:f>D8*E8</x:f>
        <x:v>650</x:v>
      </x:c>
      <x:c r="H8" s="30" t="n">
        <x:f>D8*F8</x:f>
        <x:v>650</x:v>
      </x:c>
      <x:c r="I8" s="26" t="str">
        <x:v>https://www.ram-e-shop.com/ar/shop/sy2040-1000mm-2040-aluminum-profile-20x40x1000mm-model-sy2040-8531</x:v>
      </x:c>
    </x:row>
    <x:row r="9">
      <x:c r="A9" s="28" t="n">
        <x:v>5</x:v>
      </x:c>
      <x:c r="B9" s="26" t="str">
        <x:v>Corner brackets</x:v>
      </x:c>
      <x:c r="C9" s="26" t="str">
        <x:v>2020/2040 aluminum profile accessory corner bracket</x:v>
      </x:c>
      <x:c r="D9" s="28" t="n">
        <x:v>8</x:v>
      </x:c>
      <x:c r="E9" s="30" t="n">
        <x:v>20</x:v>
      </x:c>
      <x:c r="F9" s="30" t="n">
        <x:v>30</x:v>
      </x:c>
      <x:c r="G9" s="30" t="n">
        <x:f>D9*E9</x:f>
        <x:v>160</x:v>
      </x:c>
      <x:c r="H9" s="30" t="n">
        <x:f>D9*F9</x:f>
        <x:v>240</x:v>
      </x:c>
      <x:c r="I9" s="26" t="str">
        <x:v>Estimate based on common local market price; RAM link provided</x:v>
      </x:c>
    </x:row>
    <x:row r="10">
      <x:c r="A10" s="28" t="n">
        <x:v>6</x:v>
      </x:c>
      <x:c r="B10" s="26" t="str">
        <x:v>Arduino Uno</x:v>
      </x:c>
      <x:c r="C10" s="26" t="str">
        <x:v>Arduino Uno R3 clone / compatible board</x:v>
      </x:c>
      <x:c r="D10" s="28" t="n">
        <x:v>1</x:v>
      </x:c>
      <x:c r="E10" s="30" t="n">
        <x:v>375</x:v>
      </x:c>
      <x:c r="F10" s="30" t="n">
        <x:v>450</x:v>
      </x:c>
      <x:c r="G10" s="30" t="n">
        <x:f>D10*E10</x:f>
        <x:v>375</x:v>
      </x:c>
      <x:c r="H10" s="30" t="n">
        <x:f>D10*F10</x:f>
        <x:v>450</x:v>
      </x:c>
      <x:c r="I10" s="26" t="str">
        <x:v>Estimated local electronics store price</x:v>
      </x:c>
    </x:row>
    <x:row r="11">
      <x:c r="A11" s="28" t="n">
        <x:v>7</x:v>
      </x:c>
      <x:c r="B11" s="26" t="str">
        <x:v>H-Bridge motor driver</x:v>
      </x:c>
      <x:c r="C11" s="26" t="str">
        <x:v>L298N dual H-bridge motor driver; 2 boards control 4 DC motors</x:v>
      </x:c>
      <x:c r="D11" s="28" t="n">
        <x:v>2</x:v>
      </x:c>
      <x:c r="E11" s="30" t="n">
        <x:v>130</x:v>
      </x:c>
      <x:c r="F11" s="30" t="n">
        <x:v>140</x:v>
      </x:c>
      <x:c r="G11" s="30" t="n">
        <x:f>D11*E11</x:f>
        <x:v>260</x:v>
      </x:c>
      <x:c r="H11" s="30" t="n">
        <x:f>D11*F11</x:f>
        <x:v>280</x:v>
      </x:c>
      <x:c r="I11" s="26" t="str">
        <x:v>Estimated local electronics store price</x:v>
      </x:c>
    </x:row>
    <x:row r="12">
      <x:c r="A12" s="28" t="n">
        <x:v>8</x:v>
      </x:c>
      <x:c r="B12" s="26" t="str">
        <x:v>Bluetooth module</x:v>
      </x:c>
      <x:c r="C12" s="26" t="str">
        <x:v>HC-05 Bluetooth serial module</x:v>
      </x:c>
      <x:c r="D12" s="28" t="n">
        <x:v>1</x:v>
      </x:c>
      <x:c r="E12" s="30" t="n">
        <x:v>200</x:v>
      </x:c>
      <x:c r="F12" s="30" t="n">
        <x:v>230</x:v>
      </x:c>
      <x:c r="G12" s="30" t="n">
        <x:f>D12*E12</x:f>
        <x:v>200</x:v>
      </x:c>
      <x:c r="H12" s="30" t="n">
        <x:f>D12*F12</x:f>
        <x:v>230</x:v>
      </x:c>
      <x:c r="I12" s="26" t="str">
        <x:v>Estimated local electronics store price</x:v>
      </x:c>
    </x:row>
    <x:row r="13">
      <x:c r="A13" s="28" t="n">
        <x:v>9</x:v>
      </x:c>
      <x:c r="B13" s="26" t="str">
        <x:v>Rechargeable batteries</x:v>
      </x:c>
      <x:c r="C13" s="26" t="str">
        <x:v>18650 Li-ion 3.7V cells</x:v>
      </x:c>
      <x:c r="D13" s="28" t="n">
        <x:v>3</x:v>
      </x:c>
      <x:c r="E13" s="30" t="n">
        <x:v>65</x:v>
      </x:c>
      <x:c r="F13" s="30" t="n">
        <x:v>90</x:v>
      </x:c>
      <x:c r="G13" s="30" t="n">
        <x:f>D13*E13</x:f>
        <x:v>195</x:v>
      </x:c>
      <x:c r="H13" s="30" t="n">
        <x:f>D13*F13</x:f>
        <x:v>270</x:v>
      </x:c>
      <x:c r="I13" s="26" t="str">
        <x:v>Estimated local electronics store price</x:v>
      </x:c>
    </x:row>
    <x:row r="14">
      <x:c r="A14" s="28" t="n">
        <x:v>10</x:v>
      </x:c>
      <x:c r="B14" s="26" t="str">
        <x:v>Battery holder</x:v>
      </x:c>
      <x:c r="C14" s="26" t="str">
        <x:v>3-cell 18650 holder / case</x:v>
      </x:c>
      <x:c r="D14" s="28" t="n">
        <x:v>1</x:v>
      </x:c>
      <x:c r="E14" s="30" t="n">
        <x:v>35</x:v>
      </x:c>
      <x:c r="F14" s="30" t="n">
        <x:v>35</x:v>
      </x:c>
      <x:c r="G14" s="30" t="n">
        <x:f>D14*E14</x:f>
        <x:v>35</x:v>
      </x:c>
      <x:c r="H14" s="30" t="n">
        <x:f>D14*F14</x:f>
        <x:v>35</x:v>
      </x:c>
      <x:c r="I14" s="26" t="str">
        <x:v>Estimated local electronics store price</x:v>
      </x:c>
    </x:row>
    <x:row r="15">
      <x:c r="A15" s="28" t="n">
        <x:v>11</x:v>
      </x:c>
      <x:c r="B15" s="26" t="str">
        <x:v>Jumper / power wires</x:v>
      </x:c>
      <x:c r="C15" s="26" t="str">
        <x:v>Male-female, male-male, motor power wires</x:v>
      </x:c>
      <x:c r="D15" s="28" t="n">
        <x:v>1</x:v>
      </x:c>
      <x:c r="E15" s="30" t="n">
        <x:v>50</x:v>
      </x:c>
      <x:c r="F15" s="30" t="n">
        <x:v>100</x:v>
      </x:c>
      <x:c r="G15" s="30" t="n">
        <x:f>D15*E15</x:f>
        <x:v>50</x:v>
      </x:c>
      <x:c r="H15" s="30" t="n">
        <x:f>D15*F15</x:f>
        <x:v>100</x:v>
      </x:c>
      <x:c r="I15" s="26" t="str">
        <x:v>Estimated consumables</x:v>
      </x:c>
    </x:row>
    <x:row r="16">
      <x:c r="A16" s="28" t="n">
        <x:v>12</x:v>
      </x:c>
      <x:c r="B16" s="26" t="str">
        <x:v>Screws, nuts, washers, spacers</x:v>
      </x:c>
      <x:c r="C16" s="26" t="str">
        <x:v>Mechanical fixing set for motors, brackets, boards, and battery holder</x:v>
      </x:c>
      <x:c r="D16" s="28" t="n">
        <x:v>1</x:v>
      </x:c>
      <x:c r="E16" s="30" t="n">
        <x:v>100</x:v>
      </x:c>
      <x:c r="F16" s="30" t="n">
        <x:v>150</x:v>
      </x:c>
      <x:c r="G16" s="30" t="n">
        <x:f>D16*E16</x:f>
        <x:v>100</x:v>
      </x:c>
      <x:c r="H16" s="30" t="n">
        <x:f>D16*F16</x:f>
        <x:v>150</x:v>
      </x:c>
      <x:c r="I16" s="26" t="str">
        <x:v>Estimated consumables</x:v>
      </x:c>
    </x:row>
    <x:row r="17">
      <x:c r="A17" s="28" t="n">
        <x:v>13</x:v>
      </x:c>
      <x:c r="B17" s="26" t="str">
        <x:v>Breadboard / mounting board</x:v>
      </x:c>
      <x:c r="C17" s="26" t="str">
        <x:v>Small breadboard or wiring distribution board</x:v>
      </x:c>
      <x:c r="D17" s="28" t="n">
        <x:v>1</x:v>
      </x:c>
      <x:c r="E17" s="30" t="n">
        <x:v>50</x:v>
      </x:c>
      <x:c r="F17" s="30" t="n">
        <x:v>80</x:v>
      </x:c>
      <x:c r="G17" s="30" t="n">
        <x:f>D17*E17</x:f>
        <x:v>50</x:v>
      </x:c>
      <x:c r="H17" s="30" t="n">
        <x:f>D17*F17</x:f>
        <x:v>80</x:v>
      </x:c>
      <x:c r="I17" s="26" t="str">
        <x:v>Estimated local electronics store price</x:v>
      </x:c>
    </x:row>
    <x:row r="18">
      <x:c r="A18" s="28" t="n">
        <x:v>14</x:v>
      </x:c>
      <x:c r="B18" s="26" t="str">
        <x:v>Power switch</x:v>
      </x:c>
      <x:c r="C18" s="26" t="str">
        <x:v>Main ON/OFF switch for battery supply</x:v>
      </x:c>
      <x:c r="D18" s="28" t="n">
        <x:v>1</x:v>
      </x:c>
      <x:c r="E18" s="30" t="n">
        <x:v>15</x:v>
      </x:c>
      <x:c r="F18" s="30" t="n">
        <x:v>30</x:v>
      </x:c>
      <x:c r="G18" s="30" t="n">
        <x:f>D18*E18</x:f>
        <x:v>15</x:v>
      </x:c>
      <x:c r="H18" s="30" t="n">
        <x:f>D18*F18</x:f>
        <x:v>30</x:v>
      </x:c>
      <x:c r="I18" s="26" t="str">
        <x:v>Estimated local electronics store price</x:v>
      </x:c>
    </x:row>
    <x:row r="19">
      <x:c r="A19" s="28" t="n">
        <x:v>15</x:v>
      </x:c>
      <x:c r="B19" s="26" t="str">
        <x:v>Optional protection / power parts</x:v>
      </x:c>
      <x:c r="C19" s="26" t="str">
        <x:v>3S BMS, fuse, DC jack, terminal blocks</x:v>
      </x:c>
      <x:c r="D19" s="28" t="n">
        <x:v>1</x:v>
      </x:c>
      <x:c r="E19" s="30" t="n">
        <x:v>100</x:v>
      </x:c>
      <x:c r="F19" s="30" t="n">
        <x:v>180</x:v>
      </x:c>
      <x:c r="G19" s="30" t="n">
        <x:f>D19*E19</x:f>
        <x:v>100</x:v>
      </x:c>
      <x:c r="H19" s="30" t="n">
        <x:f>D19*F19</x:f>
        <x:v>180</x:v>
      </x:c>
      <x:c r="I19" s="26" t="str">
        <x:v>Optional but recommended</x:v>
      </x:c>
    </x:row>
    <x:row r="21">
      <x:c r="F21" s="38" t="str">
        <x:v>Grand Total</x:v>
      </x:c>
      <x:c r="G21" s="39" t="n">
        <x:f>SUM(G5:G19)</x:f>
        <x:v>3830</x:v>
      </x:c>
      <x:c r="H21" s="39" t="n">
        <x:f>SUM(H5:H19)</x:f>
        <x:v>4335</x:v>
      </x:c>
    </x:row>
    <x:row r="22">
      <x:c r="F22" s="38" t="str">
        <x:v>Total Without Optional Parts</x:v>
      </x:c>
      <x:c r="G22" s="39" t="n">
        <x:f>SUM(G5:G18)</x:f>
        <x:v>3730</x:v>
      </x:c>
      <x:c r="H22" s="39" t="n">
        <x:f>SUM(H5:H18)</x:f>
        <x:v>4155</x:v>
      </x:c>
    </x:row>
  </x:sheetData>
  <x:mergeCells>
    <x:mergeCell ref="A1:I1"/>
    <x:mergeCell ref="A2:I2"/>
  </x:mergeCells>
  <x:conditionalFormatting sqref="G5:H19">
    <x:cfRule type="dataBar" priority="1">
      <x:dataBar>
        <x:cfvo type="min"/>
        <x:cfvo type="max"/>
        <x:color rgb="63A8E5"/>
      </x:dataBar>
      <x:extLst>
        <x:ext xmlns:x14="http://schemas.microsoft.com/office/spreadsheetml/2009/9/main" uri="{B025F937-C7B1-47D3-B67F-A62EFF666E3E}">
          <x14:id>{F8A69318-5358-5E0E-6C4A-71F88405EDD3}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7ac99c3a6ec4f70"/>
  <x:tableParts count="1">
    <x:tablePart xmlns:r="http://schemas.openxmlformats.org/officeDocument/2006/relationships" r:id="Rf340c9a708ef43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A69318-5358-5E0E-6C4A-71F88405EDD3}">
            <x14:dataBar gradient="1">
              <x14:cfvo type="min"/>
              <x14:cfvo type="max"/>
              <x14:fillColor rgb="63A8E5"/>
            </x14:dataBar>
          </x14:cfRule>
          <xm:sqref>G5:H19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Omniwheel Robot Cost Summary</x:v>
      </x:c>
    </x:row>
    <x:row r="3">
      <x:c r="A3" s="20" t="str">
        <x:v>Item</x:v>
      </x:c>
      <x:c r="B3" s="20" t="str">
        <x:v>Value</x:v>
      </x:c>
    </x:row>
    <x:row r="4">
      <x:c r="A4" s="47" t="str">
        <x:v>Total Min</x:v>
      </x:c>
      <x:c r="B4" s="32" t="n">
        <x:f>BOQ!G21</x:f>
        <x:v>3830</x:v>
      </x:c>
    </x:row>
    <x:row r="5">
      <x:c r="A5" s="47" t="str">
        <x:v>Total Max</x:v>
      </x:c>
      <x:c r="B5" s="32" t="n">
        <x:f>BOQ!H21</x:f>
        <x:v>4335</x:v>
      </x:c>
    </x:row>
    <x:row r="6">
      <x:c r="A6" s="47" t="str">
        <x:v>Without Optional Min</x:v>
      </x:c>
      <x:c r="B6" s="32" t="n">
        <x:f>BOQ!G22</x:f>
        <x:v>3730</x:v>
      </x:c>
    </x:row>
    <x:row r="7">
      <x:c r="A7" s="47" t="str">
        <x:v>Without Optional Max</x:v>
      </x:c>
      <x:c r="B7" s="32" t="n">
        <x:f>BOQ!H22</x:f>
        <x:v>4155</x:v>
      </x:c>
    </x:row>
    <x:row r="8">
      <x:c r="A8" s="47" t="str">
        <x:v>Battery Pack</x:v>
      </x:c>
      <x:c r="B8" t="str">
        <x:v>3 × 3.7V Li-ion = 11.1V nominal, 12.6V fully charged</x:v>
      </x:c>
    </x:row>
    <x:row r="10">
      <x:c r="A10" s="20" t="str">
        <x:v>Technical Description</x:v>
      </x:c>
    </x:row>
    <x:row r="11">
      <x:c r="A11" s="50" t="str">
        <x:v>The robot uses four JGA25-370 geared DC motors, each connected to one mecanum/omnidirectional wheel. Two L298N dual H-bridge motor drivers control the four motors. The Arduino Uno receives movement commands through the HC-05 Bluetooth module and outputs PWM and direction signals for forward, backward, sideways, diagonal, and rotation movements. A 3S battery protection board is recommended because the design uses three lithium cells in series.</x:v>
      </x:c>
    </x:row>
  </x:sheetData>
  <x:mergeCells>
    <x:mergeCell ref="A1:F1"/>
    <x:mergeCell ref="A10:F10"/>
    <x:mergeCell ref="A11:F15"/>
  </x:mergeCells>
  <x:pageMargins left="0.7" right="0.7" top="0.75" bottom="0.75" header="0.3" footer="0.3"/>
</x:worksheet>
</file>